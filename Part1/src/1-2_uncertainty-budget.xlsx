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s" sheetId="1" state="visible" r:id="rId3"/>
    <sheet name="Budg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<sst xmlns="http://schemas.openxmlformats.org/spreadsheetml/2006/main" count="117" uniqueCount="86">
  <si>
    <t xml:space="preserve">Task 1.2 uncertainty budget: scenario inputs</t>
  </si>
  <si>
    <t xml:space="preserve">Input</t>
  </si>
  <si>
    <t xml:space="preserve">Value</t>
  </si>
  <si>
    <t xml:space="preserve">Unit</t>
  </si>
  <si>
    <t xml:space="preserve">Source / assumption</t>
  </si>
  <si>
    <t xml:space="preserve">Starting OD, C_0</t>
  </si>
  <si>
    <t xml:space="preserve">OD</t>
  </si>
  <si>
    <t xml:space="preserve">Scenario choice: a typical well in the observed 1.0-1.8 range (user's plates). Must be &gt;= C_target.</t>
  </si>
  <si>
    <t xml:space="preserve">Target OD, C_target</t>
  </si>
  <si>
    <t xml:space="preserve">Process setpoint (assignment section 1.1).</t>
  </si>
  <si>
    <t xml:space="preserve">Nominal transfer volume, V~_transfer</t>
  </si>
  <si>
    <t xml:space="preserve">uL</t>
  </si>
  <si>
    <t xml:space="preserve">Half of the 200 uL source well (assignment section 1.1).</t>
  </si>
  <si>
    <t xml:space="preserve">Tip size (largest dispense)</t>
  </si>
  <si>
    <t xml:space="preserve">20 uL tip on the Flex 1-50 uL pipette (assignment section 1.1). Use 20 or 50. For the 50 uL tip, set the CV (B8) to 0.07 (50 uL tip, 1 uL row); the bias bound stays 0.08.</t>
  </si>
  <si>
    <t xml:space="preserve">Random error, CV</t>
  </si>
  <si>
    <t xml:space="preserve">fraction</t>
  </si>
  <si>
    <t xml:space="preserve">Opentrons spec, 20 uL tip, 1 uL row: Random Error 3.50 % CV. A CV is one standard deviation, so u = CV (GUM 4.3.3). Applied to every dispense (20 uL tip). For the 50 uL tip use 0.07.</t>
  </si>
  <si>
    <t xml:space="preserve">Bias bound, a (half-width)</t>
  </si>
  <si>
    <t xml:space="preserve">Opentrons spec, 20 uL tip, 1 uL row: Systematic Error +/-8.00 %. Rectangular distribution, u = a/sqrt(3) (GUM 4.3.7).</t>
  </si>
  <si>
    <t xml:space="preserve">Correlation of transfer and dilution biases, r</t>
  </si>
  <si>
    <t xml:space="preserve">-</t>
  </si>
  <si>
    <t xml:space="preserve">Assumption 3 (project document): the bias is a property of the pipette, shared by every dispense of a run, so r = +1 (GUM 5.2.2 eq. 14, F.1.2.3). Lower r to test sensitivity.</t>
  </si>
  <si>
    <t xml:space="preserve">Coverage factor for expanded uncertainty</t>
  </si>
  <si>
    <t xml:space="preserve">U = k u_c (GUM 6.2.1).</t>
  </si>
  <si>
    <t xml:space="preserve">Tolerance half-width</t>
  </si>
  <si>
    <t xml:space="preserve">Normalization range 1.0 +/- 0.02 OD (assignment section 1.1).</t>
  </si>
  <si>
    <t xml:space="preserve">Task 1.2 uncertainty budget (GUM law of propagation, eq. 13)</t>
  </si>
  <si>
    <t xml:space="preserve">Derived quantities</t>
  </si>
  <si>
    <t xml:space="preserve">Nominal media volume, V~_d = V~_transfer (C_0/C_target - 1)</t>
  </si>
  <si>
    <t xml:space="preserve">Controller's dose from the nominal mass balance (general-form note, layer 3).</t>
  </si>
  <si>
    <t xml:space="preserve">Media fraction, 1 - C_target/C_0</t>
  </si>
  <si>
    <t xml:space="preserve">Nominal media share of the final volume.</t>
  </si>
  <si>
    <t xml:space="preserve">Outer slope, C_target (1 - C_target/C_0)</t>
  </si>
  <si>
    <t xml:space="preserve">Sensitivity of C_final to each step error: + for transfer, - for dilution (note 02, section 1, step 5).</t>
  </si>
  <si>
    <t xml:space="preserve">u(eps_random) = CV</t>
  </si>
  <si>
    <t xml:space="preserve">Type B, GUM 4.3.3: a CV is one standard deviation.</t>
  </si>
  <si>
    <t xml:space="preserve">u(eps_systematic) = a / sqrt(3)</t>
  </si>
  <si>
    <t xml:space="preserve">Type B, rectangular distribution, GUM 4.3.7.</t>
  </si>
  <si>
    <t xml:space="preserve">Covariance of the bias pair, r u(eps_sys)^2</t>
  </si>
  <si>
    <t xml:space="preserve">GUM 5.2.2 eq. 14 rearranged; shared bias via GUM F.1.2.3.</t>
  </si>
  <si>
    <t xml:space="preserve">Step</t>
  </si>
  <si>
    <t xml:space="preserve">Dispense no.</t>
  </si>
  <si>
    <t xml:space="preserve">Nominal volume (uL)</t>
  </si>
  <si>
    <t xml:space="preserve">Weight w = v~/V~_step</t>
  </si>
  <si>
    <t xml:space="preserve">u(x_i)</t>
  </si>
  <si>
    <t xml:space="preserve">c_i (OD)</t>
  </si>
  <si>
    <t xml:space="preserve">Signed contribution, c_i u(x_i) (OD)</t>
  </si>
  <si>
    <t xml:space="preserve">Term in u_c^2 (OD^2)</t>
  </si>
  <si>
    <t xml:space="preserve">Share of u_c^2</t>
  </si>
  <si>
    <t xml:space="preserve">eps_random,t,1</t>
  </si>
  <si>
    <t xml:space="preserve">Transfer</t>
  </si>
  <si>
    <t xml:space="preserve">eps_random,t,2</t>
  </si>
  <si>
    <t xml:space="preserve">eps_random,t,3</t>
  </si>
  <si>
    <t xml:space="preserve">eps_random,t,4</t>
  </si>
  <si>
    <t xml:space="preserve">eps_random,t,5</t>
  </si>
  <si>
    <t xml:space="preserve">eps_random,t,6</t>
  </si>
  <si>
    <t xml:space="preserve">eps_random,t,7</t>
  </si>
  <si>
    <t xml:space="preserve">eps_random,t,8</t>
  </si>
  <si>
    <t xml:space="preserve">eps_random,t,9</t>
  </si>
  <si>
    <t xml:space="preserve">eps_random,t,10</t>
  </si>
  <si>
    <t xml:space="preserve">eps_random,d,1</t>
  </si>
  <si>
    <t xml:space="preserve">Dilution</t>
  </si>
  <si>
    <t xml:space="preserve">eps_random,d,2</t>
  </si>
  <si>
    <t xml:space="preserve">eps_random,d,3</t>
  </si>
  <si>
    <t xml:space="preserve">eps_random,d,4</t>
  </si>
  <si>
    <t xml:space="preserve">eps_random,d,5</t>
  </si>
  <si>
    <t xml:space="preserve">eps_random,d,6</t>
  </si>
  <si>
    <t xml:space="preserve">eps_random,d,7</t>
  </si>
  <si>
    <t xml:space="preserve">eps_random,d,8</t>
  </si>
  <si>
    <t xml:space="preserve">eps_random,d,9</t>
  </si>
  <si>
    <t xml:space="preserve">eps_random,d,10</t>
  </si>
  <si>
    <t xml:space="preserve">eps_systematic,t</t>
  </si>
  <si>
    <t xml:space="preserve">Transfer bias</t>
  </si>
  <si>
    <t xml:space="preserve">eps_systematic,d</t>
  </si>
  <si>
    <t xml:space="preserve">Dilution bias</t>
  </si>
  <si>
    <t xml:space="preserve">Covariance of the bias pair</t>
  </si>
  <si>
    <t xml:space="preserve">2 c_sys,t c_sys,d u(eps_sys,t, eps_sys,d)</t>
  </si>
  <si>
    <t xml:space="preserve">Total, u_c^2</t>
  </si>
  <si>
    <t xml:space="preserve">Combined standard uncertainty, u_c (OD)</t>
  </si>
  <si>
    <t xml:space="preserve">Result (task 1.2: total and dominant terms)</t>
  </si>
  <si>
    <t xml:space="preserve">Share of u_c^2: transfer random errors</t>
  </si>
  <si>
    <t xml:space="preserve">Share of u_c^2: dilution random errors</t>
  </si>
  <si>
    <t xml:space="preserve">Share of u_c^2: biases net (two variances + covariance)</t>
  </si>
  <si>
    <t xml:space="preserve">Largest random-error term (share of u_c^2)</t>
  </si>
  <si>
    <t xml:space="preserve">Input with the largest random-error term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</si>
</sst>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"/>
    <numFmt numFmtId="166" formatCode="0"/>
    <numFmt numFmtId="167" formatCode="0.000"/>
    <numFmt numFmtId="168" formatCode="0.0000"/>
    <numFmt numFmtId="169" formatCode="0.000000"/>
    <numFmt numFmtId="170" formatCode="0.00;\-0.00;\-"/>
    <numFmt numFmtId="171" formatCode="0.000;\-0.000;\-"/>
    <numFmt numFmtId="172" formatCode="0.0000;\-0.0000;\-"/>
    <numFmt numFmtId="173" formatCode="\+0.0000;\-0.0000;\-"/>
    <numFmt numFmtId="174" formatCode="0.00E+00;\-0.00E+00;\-"/>
    <numFmt numFmtId="175" formatCode="0.0%;\-0.0%;\-"/>
    <numFmt numFmtId="176" formatCode="0.00E+00"/>
    <numFmt numFmtId="177" formatCode="0.0%"/>
    <numFmt numFmtId="178" formatCode="0.0%;\-0.0%;0.0%"/>
    <numFmt numFmtId="179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8000"/>
      <name val="Arial"/>
      <family val="2"/>
      <charset val="1"/>
    </font>
    <font>
      <i val="true"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1" activeCellId="0" sqref="A2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95"/>
  </cols>
  <sheetData>
    <row r="1" customFormat="false" ht="16.5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n">
        <v>1.5</v>
      </c>
      <c r="C4" s="4" t="s">
        <v>6</v>
      </c>
      <c r="D4" s="6" t="s">
        <v>7</v>
      </c>
    </row>
    <row r="5" customFormat="false" ht="15" hidden="false" customHeight="false" outlineLevel="0" collapsed="false">
      <c r="A5" s="4" t="s">
        <v>8</v>
      </c>
      <c r="B5" s="5" t="n">
        <v>1</v>
      </c>
      <c r="C5" s="4" t="s">
        <v>6</v>
      </c>
      <c r="D5" s="6" t="s">
        <v>9</v>
      </c>
    </row>
    <row r="6" customFormat="false" ht="15" hidden="false" customHeight="false" outlineLevel="0" collapsed="false">
      <c r="A6" s="4" t="s">
        <v>10</v>
      </c>
      <c r="B6" s="7" t="n">
        <v>100</v>
      </c>
      <c r="C6" s="4" t="s">
        <v>11</v>
      </c>
      <c r="D6" s="6" t="s">
        <v>12</v>
      </c>
    </row>
    <row r="7" customFormat="false" ht="26.85" hidden="false" customHeight="false" outlineLevel="0" collapsed="false">
      <c r="A7" s="4" t="s">
        <v>13</v>
      </c>
      <c r="B7" s="7" t="n">
        <v>20</v>
      </c>
      <c r="C7" s="4" t="s">
        <v>11</v>
      </c>
      <c r="D7" s="6" t="s">
        <v>14</v>
      </c>
    </row>
    <row r="8" customFormat="false" ht="30" hidden="false" customHeight="true" outlineLevel="0" collapsed="false">
      <c r="A8" s="4" t="s">
        <v>15</v>
      </c>
      <c r="B8" s="8" t="n">
        <v>0.035</v>
      </c>
      <c r="C8" s="4" t="s">
        <v>16</v>
      </c>
      <c r="D8" s="6" t="s">
        <v>17</v>
      </c>
    </row>
    <row r="9" customFormat="false" ht="30" hidden="false" customHeight="true" outlineLevel="0" collapsed="false">
      <c r="A9" s="4" t="s">
        <v>18</v>
      </c>
      <c r="B9" s="5" t="n">
        <v>0.08</v>
      </c>
      <c r="C9" s="4" t="s">
        <v>16</v>
      </c>
      <c r="D9" s="6" t="s">
        <v>19</v>
      </c>
    </row>
    <row r="10" customFormat="false" ht="26.85" hidden="false" customHeight="false" outlineLevel="0" collapsed="false">
      <c r="A10" s="4" t="s">
        <v>20</v>
      </c>
      <c r="B10" s="5" t="n">
        <v>1</v>
      </c>
      <c r="C10" s="4" t="s">
        <v>21</v>
      </c>
      <c r="D10" s="6" t="s">
        <v>22</v>
      </c>
    </row>
    <row r="11" customFormat="false" ht="15" hidden="false" customHeight="false" outlineLevel="0" collapsed="false">
      <c r="A11" s="4" t="s">
        <v>23</v>
      </c>
      <c r="B11" s="7" t="n">
        <v>2</v>
      </c>
      <c r="C11" s="4" t="s">
        <v>21</v>
      </c>
      <c r="D11" s="6" t="s">
        <v>24</v>
      </c>
    </row>
    <row r="12" customFormat="false" ht="15" hidden="false" customHeight="false" outlineLevel="0" collapsed="false">
      <c r="A12" s="4" t="s">
        <v>25</v>
      </c>
      <c r="B12" s="5" t="n">
        <v>0.02</v>
      </c>
      <c r="C12" s="4" t="s">
        <v>6</v>
      </c>
      <c r="D12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16" activeCellId="0" sqref="A16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16.5" hidden="false" customHeight="true" outlineLevel="0" collapsed="false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9" t="s">
        <v>28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 t="s">
        <v>29</v>
      </c>
      <c r="B4" s="10" t="n">
        <f aca="false">Inputs!$B$6*(Inputs!$B$4/Inputs!$B$5-1)</f>
        <v>50</v>
      </c>
      <c r="C4" s="2" t="s">
        <v>11</v>
      </c>
      <c r="D4" s="2" t="s">
        <v>30</v>
      </c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 t="s">
        <v>31</v>
      </c>
      <c r="B5" s="11" t="n">
        <f aca="false">1-Inputs!$B$5/Inputs!$B$4</f>
        <v>0.333333333333333</v>
      </c>
      <c r="C5" s="2" t="s">
        <v>21</v>
      </c>
      <c r="D5" s="2" t="s">
        <v>32</v>
      </c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" t="s">
        <v>33</v>
      </c>
      <c r="B6" s="11" t="n">
        <f aca="false">Inputs!$B$5*B5</f>
        <v>0.333333333333333</v>
      </c>
      <c r="C6" s="2" t="s">
        <v>6</v>
      </c>
      <c r="D6" s="2" t="s">
        <v>34</v>
      </c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2" t="s">
        <v>35</v>
      </c>
      <c r="B7" s="12" t="n">
        <f aca="false">Inputs!$B$8</f>
        <v>0.035</v>
      </c>
      <c r="C7" s="2" t="s">
        <v>21</v>
      </c>
      <c r="D7" s="2" t="s">
        <v>36</v>
      </c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2" t="s">
        <v>37</v>
      </c>
      <c r="B8" s="11" t="n">
        <f aca="false">Inputs!$B$9/SQRT(3)</f>
        <v>0.0461880215351701</v>
      </c>
      <c r="C8" s="2" t="s">
        <v>21</v>
      </c>
      <c r="D8" s="2" t="s">
        <v>38</v>
      </c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2" t="s">
        <v>39</v>
      </c>
      <c r="B9" s="13" t="n">
        <f aca="false">Inputs!$B$10*B8^2</f>
        <v>0.00213333333333333</v>
      </c>
      <c r="C9" s="2" t="s">
        <v>21</v>
      </c>
      <c r="D9" s="2" t="s">
        <v>40</v>
      </c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31.5" hidden="false" customHeight="true" outlineLevel="0" collapsed="false">
      <c r="A11" s="14" t="s">
        <v>1</v>
      </c>
      <c r="B11" s="14" t="s">
        <v>41</v>
      </c>
      <c r="C11" s="14" t="s">
        <v>42</v>
      </c>
      <c r="D11" s="14" t="s">
        <v>43</v>
      </c>
      <c r="E11" s="14" t="s">
        <v>44</v>
      </c>
      <c r="F11" s="14" t="s">
        <v>45</v>
      </c>
      <c r="G11" s="14" t="s">
        <v>46</v>
      </c>
      <c r="H11" s="14" t="s">
        <v>47</v>
      </c>
      <c r="I11" s="14" t="s">
        <v>48</v>
      </c>
      <c r="J11" s="14" t="s">
        <v>49</v>
      </c>
    </row>
    <row r="12" customFormat="false" ht="15" hidden="false" customHeight="false" outlineLevel="0" collapsed="false">
      <c r="A12" s="15" t="s">
        <v>50</v>
      </c>
      <c r="B12" s="15" t="s">
        <v>51</v>
      </c>
      <c r="C12" s="15" t="n">
        <v>1</v>
      </c>
      <c r="D12" s="16" t="n">
        <f aca="false">MAX(0,MIN(Inputs!$B$7,Inputs!$B$6-(1-1)*Inputs!$B$7))</f>
        <v>20</v>
      </c>
      <c r="E12" s="17" t="n">
        <f aca="false">IF(Inputs!$B$6&gt;0,D12/Inputs!$B$6,0)</f>
        <v>0.2</v>
      </c>
      <c r="F12" s="18" t="n">
        <f aca="false">IF(D12&gt;0,$B$7,0)</f>
        <v>0.035</v>
      </c>
      <c r="G12" s="19" t="n">
        <f aca="false">$B$6*E12</f>
        <v>0.0666666666666667</v>
      </c>
      <c r="H12" s="19" t="n">
        <f aca="false">G12*F12</f>
        <v>0.00233333333333333</v>
      </c>
      <c r="I12" s="20" t="n">
        <f aca="false">H12^2</f>
        <v>5.44444444444445E-006</v>
      </c>
      <c r="J12" s="21" t="n">
        <f aca="false">IF($I$35&gt;0,I12/$I$35,0)</f>
        <v>0.0714285714285714</v>
      </c>
    </row>
    <row r="13" customFormat="false" ht="15" hidden="false" customHeight="false" outlineLevel="0" collapsed="false">
      <c r="A13" s="15" t="s">
        <v>52</v>
      </c>
      <c r="B13" s="15" t="s">
        <v>51</v>
      </c>
      <c r="C13" s="15" t="n">
        <v>2</v>
      </c>
      <c r="D13" s="16" t="n">
        <f aca="false">MAX(0,MIN(Inputs!$B$7,Inputs!$B$6-(2-1)*Inputs!$B$7))</f>
        <v>20</v>
      </c>
      <c r="E13" s="17" t="n">
        <f aca="false">IF(Inputs!$B$6&gt;0,D13/Inputs!$B$6,0)</f>
        <v>0.2</v>
      </c>
      <c r="F13" s="18" t="n">
        <f aca="false">IF(D13&gt;0,$B$7,0)</f>
        <v>0.035</v>
      </c>
      <c r="G13" s="19" t="n">
        <f aca="false">$B$6*E13</f>
        <v>0.0666666666666667</v>
      </c>
      <c r="H13" s="19" t="n">
        <f aca="false">G13*F13</f>
        <v>0.00233333333333333</v>
      </c>
      <c r="I13" s="20" t="n">
        <f aca="false">H13^2</f>
        <v>5.44444444444445E-006</v>
      </c>
      <c r="J13" s="21" t="n">
        <f aca="false">IF($I$35&gt;0,I13/$I$35,0)</f>
        <v>0.0714285714285714</v>
      </c>
    </row>
    <row r="14" customFormat="false" ht="15" hidden="false" customHeight="false" outlineLevel="0" collapsed="false">
      <c r="A14" s="15" t="s">
        <v>53</v>
      </c>
      <c r="B14" s="15" t="s">
        <v>51</v>
      </c>
      <c r="C14" s="15" t="n">
        <v>3</v>
      </c>
      <c r="D14" s="16" t="n">
        <f aca="false">MAX(0,MIN(Inputs!$B$7,Inputs!$B$6-(3-1)*Inputs!$B$7))</f>
        <v>20</v>
      </c>
      <c r="E14" s="17" t="n">
        <f aca="false">IF(Inputs!$B$6&gt;0,D14/Inputs!$B$6,0)</f>
        <v>0.2</v>
      </c>
      <c r="F14" s="18" t="n">
        <f aca="false">IF(D14&gt;0,$B$7,0)</f>
        <v>0.035</v>
      </c>
      <c r="G14" s="19" t="n">
        <f aca="false">$B$6*E14</f>
        <v>0.0666666666666667</v>
      </c>
      <c r="H14" s="19" t="n">
        <f aca="false">G14*F14</f>
        <v>0.00233333333333333</v>
      </c>
      <c r="I14" s="20" t="n">
        <f aca="false">H14^2</f>
        <v>5.44444444444445E-006</v>
      </c>
      <c r="J14" s="21" t="n">
        <f aca="false">IF($I$35&gt;0,I14/$I$35,0)</f>
        <v>0.0714285714285714</v>
      </c>
    </row>
    <row r="15" customFormat="false" ht="15" hidden="false" customHeight="false" outlineLevel="0" collapsed="false">
      <c r="A15" s="15" t="s">
        <v>54</v>
      </c>
      <c r="B15" s="15" t="s">
        <v>51</v>
      </c>
      <c r="C15" s="15" t="n">
        <v>4</v>
      </c>
      <c r="D15" s="16" t="n">
        <f aca="false">MAX(0,MIN(Inputs!$B$7,Inputs!$B$6-(4-1)*Inputs!$B$7))</f>
        <v>20</v>
      </c>
      <c r="E15" s="17" t="n">
        <f aca="false">IF(Inputs!$B$6&gt;0,D15/Inputs!$B$6,0)</f>
        <v>0.2</v>
      </c>
      <c r="F15" s="18" t="n">
        <f aca="false">IF(D15&gt;0,$B$7,0)</f>
        <v>0.035</v>
      </c>
      <c r="G15" s="19" t="n">
        <f aca="false">$B$6*E15</f>
        <v>0.0666666666666667</v>
      </c>
      <c r="H15" s="19" t="n">
        <f aca="false">G15*F15</f>
        <v>0.00233333333333333</v>
      </c>
      <c r="I15" s="20" t="n">
        <f aca="false">H15^2</f>
        <v>5.44444444444445E-006</v>
      </c>
      <c r="J15" s="21" t="n">
        <f aca="false">IF($I$35&gt;0,I15/$I$35,0)</f>
        <v>0.0714285714285714</v>
      </c>
    </row>
    <row r="16" customFormat="false" ht="15" hidden="false" customHeight="false" outlineLevel="0" collapsed="false">
      <c r="A16" s="15" t="s">
        <v>55</v>
      </c>
      <c r="B16" s="15" t="s">
        <v>51</v>
      </c>
      <c r="C16" s="15" t="n">
        <v>5</v>
      </c>
      <c r="D16" s="16" t="n">
        <f aca="false">MAX(0,MIN(Inputs!$B$7,Inputs!$B$6-(5-1)*Inputs!$B$7))</f>
        <v>20</v>
      </c>
      <c r="E16" s="17" t="n">
        <f aca="false">IF(Inputs!$B$6&gt;0,D16/Inputs!$B$6,0)</f>
        <v>0.2</v>
      </c>
      <c r="F16" s="18" t="n">
        <f aca="false">IF(D16&gt;0,$B$7,0)</f>
        <v>0.035</v>
      </c>
      <c r="G16" s="19" t="n">
        <f aca="false">$B$6*E16</f>
        <v>0.0666666666666667</v>
      </c>
      <c r="H16" s="19" t="n">
        <f aca="false">G16*F16</f>
        <v>0.00233333333333333</v>
      </c>
      <c r="I16" s="20" t="n">
        <f aca="false">H16^2</f>
        <v>5.44444444444445E-006</v>
      </c>
      <c r="J16" s="21" t="n">
        <f aca="false">IF($I$35&gt;0,I16/$I$35,0)</f>
        <v>0.0714285714285714</v>
      </c>
    </row>
    <row r="17" customFormat="false" ht="15" hidden="false" customHeight="false" outlineLevel="0" collapsed="false">
      <c r="A17" s="15" t="s">
        <v>56</v>
      </c>
      <c r="B17" s="15" t="s">
        <v>51</v>
      </c>
      <c r="C17" s="15" t="n">
        <v>6</v>
      </c>
      <c r="D17" s="16" t="n">
        <f aca="false">MAX(0,MIN(Inputs!$B$7,Inputs!$B$6-(6-1)*Inputs!$B$7))</f>
        <v>0</v>
      </c>
      <c r="E17" s="17" t="n">
        <f aca="false">IF(Inputs!$B$6&gt;0,D17/Inputs!$B$6,0)</f>
        <v>0</v>
      </c>
      <c r="F17" s="18" t="n">
        <f aca="false">IF(D17&gt;0,$B$7,0)</f>
        <v>0</v>
      </c>
      <c r="G17" s="19" t="n">
        <f aca="false">$B$6*E17</f>
        <v>0</v>
      </c>
      <c r="H17" s="19" t="n">
        <f aca="false">G17*F17</f>
        <v>0</v>
      </c>
      <c r="I17" s="20" t="n">
        <f aca="false">H17^2</f>
        <v>0</v>
      </c>
      <c r="J17" s="21" t="n">
        <f aca="false">IF($I$35&gt;0,I17/$I$35,0)</f>
        <v>0</v>
      </c>
    </row>
    <row r="18" customFormat="false" ht="15" hidden="false" customHeight="false" outlineLevel="0" collapsed="false">
      <c r="A18" s="15" t="s">
        <v>57</v>
      </c>
      <c r="B18" s="15" t="s">
        <v>51</v>
      </c>
      <c r="C18" s="15" t="n">
        <v>7</v>
      </c>
      <c r="D18" s="16" t="n">
        <f aca="false">MAX(0,MIN(Inputs!$B$7,Inputs!$B$6-(7-1)*Inputs!$B$7))</f>
        <v>0</v>
      </c>
      <c r="E18" s="17" t="n">
        <f aca="false">IF(Inputs!$B$6&gt;0,D18/Inputs!$B$6,0)</f>
        <v>0</v>
      </c>
      <c r="F18" s="18" t="n">
        <f aca="false">IF(D18&gt;0,$B$7,0)</f>
        <v>0</v>
      </c>
      <c r="G18" s="19" t="n">
        <f aca="false">$B$6*E18</f>
        <v>0</v>
      </c>
      <c r="H18" s="19" t="n">
        <f aca="false">G18*F18</f>
        <v>0</v>
      </c>
      <c r="I18" s="20" t="n">
        <f aca="false">H18^2</f>
        <v>0</v>
      </c>
      <c r="J18" s="21" t="n">
        <f aca="false">IF($I$35&gt;0,I18/$I$35,0)</f>
        <v>0</v>
      </c>
    </row>
    <row r="19" customFormat="false" ht="15" hidden="false" customHeight="false" outlineLevel="0" collapsed="false">
      <c r="A19" s="15" t="s">
        <v>58</v>
      </c>
      <c r="B19" s="15" t="s">
        <v>51</v>
      </c>
      <c r="C19" s="15" t="n">
        <v>8</v>
      </c>
      <c r="D19" s="16" t="n">
        <f aca="false">MAX(0,MIN(Inputs!$B$7,Inputs!$B$6-(8-1)*Inputs!$B$7))</f>
        <v>0</v>
      </c>
      <c r="E19" s="17" t="n">
        <f aca="false">IF(Inputs!$B$6&gt;0,D19/Inputs!$B$6,0)</f>
        <v>0</v>
      </c>
      <c r="F19" s="18" t="n">
        <f aca="false">IF(D19&gt;0,$B$7,0)</f>
        <v>0</v>
      </c>
      <c r="G19" s="19" t="n">
        <f aca="false">$B$6*E19</f>
        <v>0</v>
      </c>
      <c r="H19" s="19" t="n">
        <f aca="false">G19*F19</f>
        <v>0</v>
      </c>
      <c r="I19" s="20" t="n">
        <f aca="false">H19^2</f>
        <v>0</v>
      </c>
      <c r="J19" s="21" t="n">
        <f aca="false">IF($I$35&gt;0,I19/$I$35,0)</f>
        <v>0</v>
      </c>
    </row>
    <row r="20" customFormat="false" ht="15" hidden="false" customHeight="false" outlineLevel="0" collapsed="false">
      <c r="A20" s="15" t="s">
        <v>59</v>
      </c>
      <c r="B20" s="15" t="s">
        <v>51</v>
      </c>
      <c r="C20" s="15" t="n">
        <v>9</v>
      </c>
      <c r="D20" s="16" t="n">
        <f aca="false">MAX(0,MIN(Inputs!$B$7,Inputs!$B$6-(9-1)*Inputs!$B$7))</f>
        <v>0</v>
      </c>
      <c r="E20" s="17" t="n">
        <f aca="false">IF(Inputs!$B$6&gt;0,D20/Inputs!$B$6,0)</f>
        <v>0</v>
      </c>
      <c r="F20" s="18" t="n">
        <f aca="false">IF(D20&gt;0,$B$7,0)</f>
        <v>0</v>
      </c>
      <c r="G20" s="19" t="n">
        <f aca="false">$B$6*E20</f>
        <v>0</v>
      </c>
      <c r="H20" s="19" t="n">
        <f aca="false">G20*F20</f>
        <v>0</v>
      </c>
      <c r="I20" s="20" t="n">
        <f aca="false">H20^2</f>
        <v>0</v>
      </c>
      <c r="J20" s="21" t="n">
        <f aca="false">IF($I$35&gt;0,I20/$I$35,0)</f>
        <v>0</v>
      </c>
    </row>
    <row r="21" customFormat="false" ht="15" hidden="false" customHeight="false" outlineLevel="0" collapsed="false">
      <c r="A21" s="15" t="s">
        <v>60</v>
      </c>
      <c r="B21" s="15" t="s">
        <v>51</v>
      </c>
      <c r="C21" s="15" t="n">
        <v>10</v>
      </c>
      <c r="D21" s="16" t="n">
        <f aca="false">MAX(0,MIN(Inputs!$B$7,Inputs!$B$6-(10-1)*Inputs!$B$7))</f>
        <v>0</v>
      </c>
      <c r="E21" s="17" t="n">
        <f aca="false">IF(Inputs!$B$6&gt;0,D21/Inputs!$B$6,0)</f>
        <v>0</v>
      </c>
      <c r="F21" s="18" t="n">
        <f aca="false">IF(D21&gt;0,$B$7,0)</f>
        <v>0</v>
      </c>
      <c r="G21" s="19" t="n">
        <f aca="false">$B$6*E21</f>
        <v>0</v>
      </c>
      <c r="H21" s="19" t="n">
        <f aca="false">G21*F21</f>
        <v>0</v>
      </c>
      <c r="I21" s="20" t="n">
        <f aca="false">H21^2</f>
        <v>0</v>
      </c>
      <c r="J21" s="21" t="n">
        <f aca="false">IF($I$35&gt;0,I21/$I$35,0)</f>
        <v>0</v>
      </c>
    </row>
    <row r="22" customFormat="false" ht="15" hidden="false" customHeight="false" outlineLevel="0" collapsed="false">
      <c r="A22" s="15" t="s">
        <v>61</v>
      </c>
      <c r="B22" s="15" t="s">
        <v>62</v>
      </c>
      <c r="C22" s="15" t="n">
        <v>1</v>
      </c>
      <c r="D22" s="16" t="n">
        <f aca="false">MAX(0,MIN(Inputs!$B$7,$B$4-(1-1)*Inputs!$B$7))</f>
        <v>20</v>
      </c>
      <c r="E22" s="17" t="n">
        <f aca="false">IF($B$4&gt;0,D22/$B$4,0)</f>
        <v>0.4</v>
      </c>
      <c r="F22" s="18" t="n">
        <f aca="false">IF(D22&gt;0,$B$7,0)</f>
        <v>0.035</v>
      </c>
      <c r="G22" s="19" t="n">
        <f aca="false">-$B$6*E22</f>
        <v>-0.133333333333333</v>
      </c>
      <c r="H22" s="19" t="n">
        <f aca="false">G22*F22</f>
        <v>-0.00466666666666667</v>
      </c>
      <c r="I22" s="20" t="n">
        <f aca="false">H22^2</f>
        <v>2.17777777777778E-005</v>
      </c>
      <c r="J22" s="21" t="n">
        <f aca="false">IF($I$35&gt;0,I22/$I$35,0)</f>
        <v>0.285714285714286</v>
      </c>
    </row>
    <row r="23" customFormat="false" ht="15" hidden="false" customHeight="false" outlineLevel="0" collapsed="false">
      <c r="A23" s="15" t="s">
        <v>63</v>
      </c>
      <c r="B23" s="15" t="s">
        <v>62</v>
      </c>
      <c r="C23" s="15" t="n">
        <v>2</v>
      </c>
      <c r="D23" s="16" t="n">
        <f aca="false">MAX(0,MIN(Inputs!$B$7,$B$4-(2-1)*Inputs!$B$7))</f>
        <v>20</v>
      </c>
      <c r="E23" s="17" t="n">
        <f aca="false">IF($B$4&gt;0,D23/$B$4,0)</f>
        <v>0.4</v>
      </c>
      <c r="F23" s="18" t="n">
        <f aca="false">IF(D23&gt;0,$B$7,0)</f>
        <v>0.035</v>
      </c>
      <c r="G23" s="19" t="n">
        <f aca="false">-$B$6*E23</f>
        <v>-0.133333333333333</v>
      </c>
      <c r="H23" s="19" t="n">
        <f aca="false">G23*F23</f>
        <v>-0.00466666666666667</v>
      </c>
      <c r="I23" s="20" t="n">
        <f aca="false">H23^2</f>
        <v>2.17777777777778E-005</v>
      </c>
      <c r="J23" s="21" t="n">
        <f aca="false">IF($I$35&gt;0,I23/$I$35,0)</f>
        <v>0.285714285714286</v>
      </c>
    </row>
    <row r="24" customFormat="false" ht="15" hidden="false" customHeight="false" outlineLevel="0" collapsed="false">
      <c r="A24" s="15" t="s">
        <v>64</v>
      </c>
      <c r="B24" s="15" t="s">
        <v>62</v>
      </c>
      <c r="C24" s="15" t="n">
        <v>3</v>
      </c>
      <c r="D24" s="16" t="n">
        <f aca="false">MAX(0,MIN(Inputs!$B$7,$B$4-(3-1)*Inputs!$B$7))</f>
        <v>10</v>
      </c>
      <c r="E24" s="17" t="n">
        <f aca="false">IF($B$4&gt;0,D24/$B$4,0)</f>
        <v>0.2</v>
      </c>
      <c r="F24" s="18" t="n">
        <f aca="false">IF(D24&gt;0,$B$7,0)</f>
        <v>0.035</v>
      </c>
      <c r="G24" s="19" t="n">
        <f aca="false">-$B$6*E24</f>
        <v>-0.0666666666666667</v>
      </c>
      <c r="H24" s="19" t="n">
        <f aca="false">G24*F24</f>
        <v>-0.00233333333333333</v>
      </c>
      <c r="I24" s="20" t="n">
        <f aca="false">H24^2</f>
        <v>5.44444444444445E-006</v>
      </c>
      <c r="J24" s="21" t="n">
        <f aca="false">IF($I$35&gt;0,I24/$I$35,0)</f>
        <v>0.0714285714285714</v>
      </c>
    </row>
    <row r="25" customFormat="false" ht="15" hidden="false" customHeight="false" outlineLevel="0" collapsed="false">
      <c r="A25" s="15" t="s">
        <v>65</v>
      </c>
      <c r="B25" s="15" t="s">
        <v>62</v>
      </c>
      <c r="C25" s="15" t="n">
        <v>4</v>
      </c>
      <c r="D25" s="16" t="n">
        <f aca="false">MAX(0,MIN(Inputs!$B$7,$B$4-(4-1)*Inputs!$B$7))</f>
        <v>0</v>
      </c>
      <c r="E25" s="17" t="n">
        <f aca="false">IF($B$4&gt;0,D25/$B$4,0)</f>
        <v>0</v>
      </c>
      <c r="F25" s="18" t="n">
        <f aca="false">IF(D25&gt;0,$B$7,0)</f>
        <v>0</v>
      </c>
      <c r="G25" s="19" t="n">
        <f aca="false">-$B$6*E25</f>
        <v>-0</v>
      </c>
      <c r="H25" s="19" t="n">
        <f aca="false">G25*F25</f>
        <v>-0</v>
      </c>
      <c r="I25" s="20" t="n">
        <f aca="false">H25^2</f>
        <v>0</v>
      </c>
      <c r="J25" s="21" t="n">
        <f aca="false">IF($I$35&gt;0,I25/$I$35,0)</f>
        <v>0</v>
      </c>
    </row>
    <row r="26" customFormat="false" ht="15" hidden="false" customHeight="false" outlineLevel="0" collapsed="false">
      <c r="A26" s="15" t="s">
        <v>66</v>
      </c>
      <c r="B26" s="15" t="s">
        <v>62</v>
      </c>
      <c r="C26" s="15" t="n">
        <v>5</v>
      </c>
      <c r="D26" s="16" t="n">
        <f aca="false">MAX(0,MIN(Inputs!$B$7,$B$4-(5-1)*Inputs!$B$7))</f>
        <v>0</v>
      </c>
      <c r="E26" s="17" t="n">
        <f aca="false">IF($B$4&gt;0,D26/$B$4,0)</f>
        <v>0</v>
      </c>
      <c r="F26" s="18" t="n">
        <f aca="false">IF(D26&gt;0,$B$7,0)</f>
        <v>0</v>
      </c>
      <c r="G26" s="19" t="n">
        <f aca="false">-$B$6*E26</f>
        <v>-0</v>
      </c>
      <c r="H26" s="19" t="n">
        <f aca="false">G26*F26</f>
        <v>-0</v>
      </c>
      <c r="I26" s="20" t="n">
        <f aca="false">H26^2</f>
        <v>0</v>
      </c>
      <c r="J26" s="21" t="n">
        <f aca="false">IF($I$35&gt;0,I26/$I$35,0)</f>
        <v>0</v>
      </c>
    </row>
    <row r="27" customFormat="false" ht="15" hidden="false" customHeight="false" outlineLevel="0" collapsed="false">
      <c r="A27" s="15" t="s">
        <v>67</v>
      </c>
      <c r="B27" s="15" t="s">
        <v>62</v>
      </c>
      <c r="C27" s="15" t="n">
        <v>6</v>
      </c>
      <c r="D27" s="16" t="n">
        <f aca="false">MAX(0,MIN(Inputs!$B$7,$B$4-(6-1)*Inputs!$B$7))</f>
        <v>0</v>
      </c>
      <c r="E27" s="17" t="n">
        <f aca="false">IF($B$4&gt;0,D27/$B$4,0)</f>
        <v>0</v>
      </c>
      <c r="F27" s="18" t="n">
        <f aca="false">IF(D27&gt;0,$B$7,0)</f>
        <v>0</v>
      </c>
      <c r="G27" s="19" t="n">
        <f aca="false">-$B$6*E27</f>
        <v>-0</v>
      </c>
      <c r="H27" s="19" t="n">
        <f aca="false">G27*F27</f>
        <v>-0</v>
      </c>
      <c r="I27" s="20" t="n">
        <f aca="false">H27^2</f>
        <v>0</v>
      </c>
      <c r="J27" s="21" t="n">
        <f aca="false">IF($I$35&gt;0,I27/$I$35,0)</f>
        <v>0</v>
      </c>
    </row>
    <row r="28" customFormat="false" ht="15" hidden="false" customHeight="false" outlineLevel="0" collapsed="false">
      <c r="A28" s="15" t="s">
        <v>68</v>
      </c>
      <c r="B28" s="15" t="s">
        <v>62</v>
      </c>
      <c r="C28" s="15" t="n">
        <v>7</v>
      </c>
      <c r="D28" s="16" t="n">
        <f aca="false">MAX(0,MIN(Inputs!$B$7,$B$4-(7-1)*Inputs!$B$7))</f>
        <v>0</v>
      </c>
      <c r="E28" s="17" t="n">
        <f aca="false">IF($B$4&gt;0,D28/$B$4,0)</f>
        <v>0</v>
      </c>
      <c r="F28" s="18" t="n">
        <f aca="false">IF(D28&gt;0,$B$7,0)</f>
        <v>0</v>
      </c>
      <c r="G28" s="19" t="n">
        <f aca="false">-$B$6*E28</f>
        <v>-0</v>
      </c>
      <c r="H28" s="19" t="n">
        <f aca="false">G28*F28</f>
        <v>-0</v>
      </c>
      <c r="I28" s="20" t="n">
        <f aca="false">H28^2</f>
        <v>0</v>
      </c>
      <c r="J28" s="21" t="n">
        <f aca="false">IF($I$35&gt;0,I28/$I$35,0)</f>
        <v>0</v>
      </c>
    </row>
    <row r="29" customFormat="false" ht="15" hidden="false" customHeight="false" outlineLevel="0" collapsed="false">
      <c r="A29" s="15" t="s">
        <v>69</v>
      </c>
      <c r="B29" s="15" t="s">
        <v>62</v>
      </c>
      <c r="C29" s="15" t="n">
        <v>8</v>
      </c>
      <c r="D29" s="16" t="n">
        <f aca="false">MAX(0,MIN(Inputs!$B$7,$B$4-(8-1)*Inputs!$B$7))</f>
        <v>0</v>
      </c>
      <c r="E29" s="17" t="n">
        <f aca="false">IF($B$4&gt;0,D29/$B$4,0)</f>
        <v>0</v>
      </c>
      <c r="F29" s="18" t="n">
        <f aca="false">IF(D29&gt;0,$B$7,0)</f>
        <v>0</v>
      </c>
      <c r="G29" s="19" t="n">
        <f aca="false">-$B$6*E29</f>
        <v>-0</v>
      </c>
      <c r="H29" s="19" t="n">
        <f aca="false">G29*F29</f>
        <v>-0</v>
      </c>
      <c r="I29" s="20" t="n">
        <f aca="false">H29^2</f>
        <v>0</v>
      </c>
      <c r="J29" s="21" t="n">
        <f aca="false">IF($I$35&gt;0,I29/$I$35,0)</f>
        <v>0</v>
      </c>
    </row>
    <row r="30" customFormat="false" ht="15" hidden="false" customHeight="false" outlineLevel="0" collapsed="false">
      <c r="A30" s="15" t="s">
        <v>70</v>
      </c>
      <c r="B30" s="15" t="s">
        <v>62</v>
      </c>
      <c r="C30" s="15" t="n">
        <v>9</v>
      </c>
      <c r="D30" s="16" t="n">
        <f aca="false">MAX(0,MIN(Inputs!$B$7,$B$4-(9-1)*Inputs!$B$7))</f>
        <v>0</v>
      </c>
      <c r="E30" s="17" t="n">
        <f aca="false">IF($B$4&gt;0,D30/$B$4,0)</f>
        <v>0</v>
      </c>
      <c r="F30" s="18" t="n">
        <f aca="false">IF(D30&gt;0,$B$7,0)</f>
        <v>0</v>
      </c>
      <c r="G30" s="19" t="n">
        <f aca="false">-$B$6*E30</f>
        <v>-0</v>
      </c>
      <c r="H30" s="19" t="n">
        <f aca="false">G30*F30</f>
        <v>-0</v>
      </c>
      <c r="I30" s="20" t="n">
        <f aca="false">H30^2</f>
        <v>0</v>
      </c>
      <c r="J30" s="21" t="n">
        <f aca="false">IF($I$35&gt;0,I30/$I$35,0)</f>
        <v>0</v>
      </c>
    </row>
    <row r="31" customFormat="false" ht="15" hidden="false" customHeight="false" outlineLevel="0" collapsed="false">
      <c r="A31" s="15" t="s">
        <v>71</v>
      </c>
      <c r="B31" s="15" t="s">
        <v>62</v>
      </c>
      <c r="C31" s="15" t="n">
        <v>10</v>
      </c>
      <c r="D31" s="16" t="n">
        <f aca="false">MAX(0,MIN(Inputs!$B$7,$B$4-(10-1)*Inputs!$B$7))</f>
        <v>0</v>
      </c>
      <c r="E31" s="17" t="n">
        <f aca="false">IF($B$4&gt;0,D31/$B$4,0)</f>
        <v>0</v>
      </c>
      <c r="F31" s="18" t="n">
        <f aca="false">IF(D31&gt;0,$B$7,0)</f>
        <v>0</v>
      </c>
      <c r="G31" s="19" t="n">
        <f aca="false">-$B$6*E31</f>
        <v>-0</v>
      </c>
      <c r="H31" s="19" t="n">
        <f aca="false">G31*F31</f>
        <v>-0</v>
      </c>
      <c r="I31" s="20" t="n">
        <f aca="false">H31^2</f>
        <v>0</v>
      </c>
      <c r="J31" s="21" t="n">
        <f aca="false">IF($I$35&gt;0,I31/$I$35,0)</f>
        <v>0</v>
      </c>
    </row>
    <row r="32" customFormat="false" ht="15" hidden="false" customHeight="false" outlineLevel="0" collapsed="false">
      <c r="A32" s="15" t="s">
        <v>72</v>
      </c>
      <c r="B32" s="15" t="s">
        <v>73</v>
      </c>
      <c r="C32" s="15"/>
      <c r="D32" s="16"/>
      <c r="E32" s="17"/>
      <c r="F32" s="18" t="n">
        <f aca="false">$B$8</f>
        <v>0.0461880215351701</v>
      </c>
      <c r="G32" s="19" t="n">
        <f aca="false">$B$6</f>
        <v>0.333333333333333</v>
      </c>
      <c r="H32" s="19" t="n">
        <f aca="false">G32*F32</f>
        <v>0.01539600717839</v>
      </c>
      <c r="I32" s="20" t="n">
        <f aca="false">H32^2</f>
        <v>0.000237037037037037</v>
      </c>
      <c r="J32" s="21" t="n">
        <f aca="false">IF($I$35&gt;0,I32/$I$35,0)</f>
        <v>3.10981535471331</v>
      </c>
    </row>
    <row r="33" customFormat="false" ht="15" hidden="false" customHeight="false" outlineLevel="0" collapsed="false">
      <c r="A33" s="15" t="s">
        <v>74</v>
      </c>
      <c r="B33" s="15" t="s">
        <v>75</v>
      </c>
      <c r="C33" s="15"/>
      <c r="D33" s="16"/>
      <c r="E33" s="17"/>
      <c r="F33" s="18" t="n">
        <f aca="false">$B$8</f>
        <v>0.0461880215351701</v>
      </c>
      <c r="G33" s="19" t="n">
        <f aca="false">-$B$6</f>
        <v>-0.333333333333333</v>
      </c>
      <c r="H33" s="19" t="n">
        <f aca="false">G33*F33</f>
        <v>-0.01539600717839</v>
      </c>
      <c r="I33" s="20" t="n">
        <f aca="false">H33^2</f>
        <v>0.000237037037037037</v>
      </c>
      <c r="J33" s="21" t="n">
        <f aca="false">IF($I$35&gt;0,I33/$I$35,0)</f>
        <v>3.10981535471331</v>
      </c>
    </row>
    <row r="34" customFormat="false" ht="15" hidden="false" customHeight="false" outlineLevel="0" collapsed="false">
      <c r="A34" s="15" t="s">
        <v>76</v>
      </c>
      <c r="B34" s="15" t="s">
        <v>77</v>
      </c>
      <c r="C34" s="15"/>
      <c r="D34" s="16"/>
      <c r="E34" s="17"/>
      <c r="F34" s="18"/>
      <c r="G34" s="19"/>
      <c r="H34" s="19"/>
      <c r="I34" s="20" t="n">
        <f aca="false">2*G32*G33*$B$9</f>
        <v>-0.000474074074074074</v>
      </c>
      <c r="J34" s="21" t="n">
        <f aca="false">IF($I$35&gt;0,I34/$I$35,0)</f>
        <v>-6.21963070942662</v>
      </c>
    </row>
    <row r="35" customFormat="false" ht="15" hidden="false" customHeight="false" outlineLevel="0" collapsed="false">
      <c r="A35" s="22" t="s">
        <v>78</v>
      </c>
      <c r="B35" s="15"/>
      <c r="C35" s="15"/>
      <c r="D35" s="15"/>
      <c r="E35" s="15"/>
      <c r="F35" s="15"/>
      <c r="G35" s="15"/>
      <c r="H35" s="15"/>
      <c r="I35" s="23" t="n">
        <f aca="false">SUM(I12:I34)</f>
        <v>7.62222222222223E-005</v>
      </c>
      <c r="J35" s="15"/>
    </row>
    <row r="36" customFormat="false" ht="15" hidden="false" customHeight="false" outlineLevel="0" collapsed="false">
      <c r="A36" s="22" t="s">
        <v>79</v>
      </c>
      <c r="B36" s="15"/>
      <c r="C36" s="15"/>
      <c r="D36" s="15"/>
      <c r="E36" s="15"/>
      <c r="F36" s="15"/>
      <c r="G36" s="15"/>
      <c r="H36" s="15"/>
      <c r="I36" s="24" t="n">
        <f aca="false">SQRT(I35)</f>
        <v>0.00873053390247254</v>
      </c>
      <c r="J36" s="15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9" t="s">
        <v>80</v>
      </c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2" t="s">
        <v>79</v>
      </c>
      <c r="B39" s="24" t="n">
        <f aca="false">I36</f>
        <v>0.00873053390247254</v>
      </c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15" t="s">
        <v>81</v>
      </c>
      <c r="B40" s="25" t="n">
        <f aca="false">SUM(I12:I21)/I35</f>
        <v>0.357142857142857</v>
      </c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15" t="s">
        <v>82</v>
      </c>
      <c r="B41" s="25" t="n">
        <f aca="false">SUM(I22:I31)/I35</f>
        <v>0.642857142857142</v>
      </c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15" t="s">
        <v>83</v>
      </c>
      <c r="B42" s="26" t="n">
        <f aca="false">(I32+I33+I34)/I35</f>
        <v>0</v>
      </c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15" t="s">
        <v>84</v>
      </c>
      <c r="B43" s="25" t="n">
        <f aca="false">MAX(J12:J31)</f>
        <v>0.285714285714286</v>
      </c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15" t="s">
        <v>85</v>
      </c>
      <c r="B44" s="27" t="str">
        <f aca="false">INDEX(A12:A31,MATCH(MAX(J12:J31),J12:J31,0))</f>
        <v>eps_random,d,1</v>
      </c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28"/>
      <c r="B46" s="2"/>
      <c r="C46" s="2"/>
      <c r="D46" s="2"/>
      <c r="E46" s="2"/>
      <c r="F46" s="2"/>
      <c r="G46" s="2"/>
      <c r="H46" s="2"/>
      <c r="I46" s="2"/>
      <c r="J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2026-10-27T17:02:29Z</dcterms:created>
  <dc:creator>openpyxl</dc:creator>
  <dc:description/>
  <dc:language>en-US</dc:language>
  <cp:lastModifiedBy>Alexander Nguyen</cp:lastModifiedBy>
  <dcterms:modified xsi:type="dcterms:W3CDTF">2026-10-27T19:07:22Z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